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D:\Mohamed\Post-doctorate\iHub\Archive\د محمود طنطاوى اكاديمية البحث العلمى\تقديم الاكاديمية\After Acceptance\الملفات الخاصة بكل مشروع\"/>
    </mc:Choice>
  </mc:AlternateContent>
  <xr:revisionPtr revIDLastSave="0" documentId="8_{96CF6D68-A34B-4B96-A920-E8BB87AF8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4" i="1"/>
  <c r="J3" i="1"/>
  <c r="I3" i="1"/>
  <c r="K3" i="1"/>
  <c r="L3" i="1"/>
  <c r="M3" i="1"/>
  <c r="N3" i="1"/>
  <c r="O3" i="1"/>
  <c r="D3" i="1"/>
  <c r="E3" i="1"/>
  <c r="F3" i="1"/>
  <c r="G3" i="1"/>
  <c r="H3" i="1"/>
  <c r="P3" i="1" l="1"/>
</calcChain>
</file>

<file path=xl/sharedStrings.xml><?xml version="1.0" encoding="utf-8"?>
<sst xmlns="http://schemas.openxmlformats.org/spreadsheetml/2006/main" count="21" uniqueCount="21">
  <si>
    <t>اسم المشروع</t>
  </si>
  <si>
    <t>التسويات</t>
  </si>
  <si>
    <t>النسبة</t>
  </si>
  <si>
    <t>المبلغ</t>
  </si>
  <si>
    <t>مصاريف إدارية 1</t>
  </si>
  <si>
    <t>مصاريف إدارية 2</t>
  </si>
  <si>
    <t>المعرض</t>
  </si>
  <si>
    <t>تدريبات تقنية</t>
  </si>
  <si>
    <t>كيماويات</t>
  </si>
  <si>
    <t>خامات</t>
  </si>
  <si>
    <t>اصول وراثيه</t>
  </si>
  <si>
    <t>مستلزمات</t>
  </si>
  <si>
    <t xml:space="preserve">تراخيص برامج </t>
  </si>
  <si>
    <t>اختبارات معملية</t>
  </si>
  <si>
    <t>تصنيع (مع تحديد المعدة)</t>
  </si>
  <si>
    <t>اخري</t>
  </si>
  <si>
    <t>الإجمالي بالجنيه المصري</t>
  </si>
  <si>
    <t>التسوية الاولى</t>
  </si>
  <si>
    <t>التسوية الثانية</t>
  </si>
  <si>
    <t>مشرف المشروع</t>
  </si>
  <si>
    <t xml:space="preserve">عميد الكلية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</si>
</sst>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4"/>
      </patternFill>
    </fill>
    <fill>
      <patternFill patternType="solid">
        <fgColor theme="2" tint="-0.249977111117893"/>
        <bgColor theme="4" tint="0.59999389629810485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0" fontId="2" fillId="8" borderId="3" xfId="0" applyNumberFormat="1" applyFont="1" applyFill="1" applyBorder="1" applyAlignment="1">
      <alignment horizontal="center"/>
    </xf>
    <xf numFmtId="2" fontId="2" fillId="8" borderId="3" xfId="0" applyNumberFormat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9" fontId="7" fillId="3" borderId="0" xfId="0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9" fontId="6" fillId="7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10" fontId="2" fillId="4" borderId="3" xfId="0" applyNumberFormat="1" applyFont="1" applyFill="1" applyBorder="1" applyAlignment="1" applyProtection="1">
      <alignment horizontal="center"/>
      <protection locked="0"/>
    </xf>
    <xf numFmtId="2" fontId="2" fillId="4" borderId="3" xfId="0" applyNumberFormat="1" applyFont="1" applyFill="1" applyBorder="1" applyAlignment="1" applyProtection="1">
      <alignment horizontal="center"/>
      <protection locked="0"/>
    </xf>
    <xf numFmtId="0" fontId="8" fillId="9" borderId="3" xfId="0" applyFont="1" applyFill="1" applyBorder="1" applyAlignment="1">
      <alignment horizontal="center" vertical="center" wrapText="1"/>
    </xf>
    <xf numFmtId="10" fontId="9" fillId="9" borderId="3" xfId="0" applyNumberFormat="1" applyFont="1" applyFill="1" applyBorder="1" applyAlignment="1">
      <alignment horizontal="center"/>
    </xf>
    <xf numFmtId="2" fontId="9" fillId="9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numFmt numFmtId="14" formatCode="0.00%"/>
      <fill>
        <patternFill patternType="solid">
          <fgColor indexed="64"/>
          <bgColor rgb="FFCC99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>
        <right style="thin">
          <color auto="1"/>
        </right>
      </border>
      <protection locked="1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8CE59-7F6A-4695-BB9A-49B11F70231C}" name="Table1" displayName="Table1" ref="B2:P5" headerRowDxfId="17" dataDxfId="16" totalsRowDxfId="15">
  <autoFilter ref="B2:P5" xr:uid="{A2E8CE59-7F6A-4695-BB9A-49B11F7023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27D6E40-7513-4948-9C2F-8034528BFC30}" name="النسبة" totalsRowLabel="Total" dataDxfId="14"/>
    <tableColumn id="15" xr3:uid="{3C055E99-DBB7-47EE-9F6F-8493C982D812}" name="المبلغ" dataDxfId="13"/>
    <tableColumn id="2" xr3:uid="{A3B452FB-EFAF-4489-88DB-F298C47A582A}" name="مصاريف إدارية 1" dataDxfId="12"/>
    <tableColumn id="3" xr3:uid="{E4B9CF60-3750-49A5-B323-60318C05D862}" name="مصاريف إدارية 2" dataDxfId="11"/>
    <tableColumn id="4" xr3:uid="{2AC38FBF-118A-408F-A561-059ACB803955}" name="المعرض" dataDxfId="10"/>
    <tableColumn id="12" xr3:uid="{253457A6-2643-40C1-B38F-0F6D2B42C825}" name="تدريبات تقنية" dataDxfId="9"/>
    <tableColumn id="5" xr3:uid="{E6465C5F-C371-494F-AC5A-EBE83ED4E8A1}" name="كيماويات" dataDxfId="8">
      <calculatedColumnFormula xml:space="preserve"> (H4+H5)/Table1[[#This Row],[المبلغ]]</calculatedColumnFormula>
    </tableColumn>
    <tableColumn id="6" xr3:uid="{E8C0F545-42E7-41E0-80D0-FA9F07E61F21}" name="خامات" dataDxfId="7"/>
    <tableColumn id="16" xr3:uid="{D364336E-303F-4127-AC38-07ACA475E4EE}" name="اصول وراثيه" dataDxfId="6"/>
    <tableColumn id="7" xr3:uid="{173077AB-8ABE-4F0F-8973-24A797591947}" name="مستلزمات" dataDxfId="5"/>
    <tableColumn id="8" xr3:uid="{21D495DA-B162-428A-9EBD-A91FB70F75A1}" name="تراخيص برامج " dataDxfId="4"/>
    <tableColumn id="9" xr3:uid="{E44DAD7F-0588-466A-B37B-C44C703B53C7}" name="اختبارات معملية" dataDxfId="3"/>
    <tableColumn id="14" xr3:uid="{202381C3-6C43-45FC-847B-0BA82182AA24}" name="تصنيع (مع تحديد المعدة)" dataDxfId="2"/>
    <tableColumn id="10" xr3:uid="{93CC7589-D27C-4079-AED4-6F181365F6A6}" name="اخري" dataDxfId="1"/>
    <tableColumn id="11" xr3:uid="{6D0A9CAB-F6A0-4825-A696-7F2F2D4158AA}" name="الإجمالي بالجنيه المصري" totalsRowFunction="count" dataDxfId="0">
      <calculatedColumnFormula>SUM(Table1[[#This Row],[مصاريف إدارية 1]:[اخري]])</calculatedColumnFormula>
    </tableColumn>
  </tableColumns>
  <tableStyleInfo name="TableStyleMedium9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rightToLeft="1" tabSelected="1" zoomScale="55" zoomScaleNormal="55" workbookViewId="0">
      <selection activeCell="L4" sqref="L4"/>
    </sheetView>
  </sheetViews>
  <sheetFormatPr defaultRowHeight="18"/>
  <cols>
    <col min="1" max="1" width="13.5703125" style="18" customWidth="1"/>
    <col min="2" max="2" width="12.28515625" style="19" customWidth="1"/>
    <col min="3" max="3" width="16" style="19" customWidth="1"/>
    <col min="4" max="4" width="17.5703125" customWidth="1"/>
    <col min="5" max="5" width="16.28515625" customWidth="1"/>
    <col min="6" max="6" width="14.5703125" customWidth="1"/>
    <col min="7" max="7" width="14.140625" customWidth="1"/>
    <col min="8" max="8" width="12" customWidth="1"/>
    <col min="9" max="9" width="9.140625" customWidth="1"/>
    <col min="10" max="10" width="12.7109375" customWidth="1"/>
    <col min="11" max="11" width="12.28515625" customWidth="1"/>
    <col min="12" max="12" width="14.85546875" customWidth="1"/>
    <col min="13" max="13" width="14.7109375" customWidth="1"/>
    <col min="14" max="14" width="18.5703125" customWidth="1"/>
    <col min="15" max="15" width="9.28515625" customWidth="1"/>
    <col min="16" max="16" width="16.42578125" customWidth="1"/>
  </cols>
  <sheetData>
    <row r="1" spans="1:16">
      <c r="A1" s="20" t="s">
        <v>0</v>
      </c>
      <c r="B1" s="22"/>
      <c r="C1" s="22"/>
    </row>
    <row r="2" spans="1:16" s="17" customFormat="1" ht="36.6" thickBot="1">
      <c r="A2" s="4" t="s">
        <v>1</v>
      </c>
      <c r="B2" s="5" t="s">
        <v>2</v>
      </c>
      <c r="C2" s="6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4" t="s">
        <v>16</v>
      </c>
    </row>
    <row r="3" spans="1:16" ht="21.6" thickTop="1">
      <c r="A3" s="7"/>
      <c r="B3" s="8">
        <v>1</v>
      </c>
      <c r="C3" s="9">
        <v>100000</v>
      </c>
      <c r="D3" s="1">
        <f xml:space="preserve"> (D4+D5)/$C$3</f>
        <v>0.05</v>
      </c>
      <c r="E3" s="1">
        <f xml:space="preserve"> (E4+E5)/$C$3</f>
        <v>0.05</v>
      </c>
      <c r="F3" s="1">
        <f xml:space="preserve"> (F4+F5)/$C$3</f>
        <v>0.05</v>
      </c>
      <c r="G3" s="1">
        <f xml:space="preserve"> (G4+G5)/$C$3</f>
        <v>0.05</v>
      </c>
      <c r="H3" s="12">
        <f xml:space="preserve"> (H4+H5)/$C$3</f>
        <v>0</v>
      </c>
      <c r="I3" s="12">
        <f xml:space="preserve"> (I4+I5)/$C$3</f>
        <v>0</v>
      </c>
      <c r="J3" s="12">
        <f xml:space="preserve"> (J4+J5)/$C$3</f>
        <v>0</v>
      </c>
      <c r="K3" s="12">
        <f xml:space="preserve"> (K4+K5)/$C$3</f>
        <v>0</v>
      </c>
      <c r="L3" s="12">
        <f xml:space="preserve"> (L4+L5)/$C$3</f>
        <v>0</v>
      </c>
      <c r="M3" s="12">
        <f xml:space="preserve"> (M4+M5)/$C$3</f>
        <v>0</v>
      </c>
      <c r="N3" s="12">
        <f xml:space="preserve"> (N4+N5)/$C$3</f>
        <v>0</v>
      </c>
      <c r="O3" s="12">
        <f xml:space="preserve"> (O4+O5)/$C$3</f>
        <v>0</v>
      </c>
      <c r="P3" s="15">
        <f>SUM(Table1[[#This Row],[مصاريف إدارية 1]:[اخري]])</f>
        <v>0.2</v>
      </c>
    </row>
    <row r="4" spans="1:16" ht="21">
      <c r="A4" s="10" t="s">
        <v>17</v>
      </c>
      <c r="B4" s="8">
        <v>0.25</v>
      </c>
      <c r="C4" s="9">
        <v>25000</v>
      </c>
      <c r="D4" s="2">
        <v>5000</v>
      </c>
      <c r="E4" s="2">
        <v>0</v>
      </c>
      <c r="F4" s="2">
        <v>0</v>
      </c>
      <c r="G4" s="2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6">
        <f>SUM(Table1[[#This Row],[مصاريف إدارية 1]:[اخري]])</f>
        <v>5000</v>
      </c>
    </row>
    <row r="5" spans="1:16" ht="21">
      <c r="A5" s="10" t="s">
        <v>18</v>
      </c>
      <c r="B5" s="8">
        <v>0.75</v>
      </c>
      <c r="C5" s="9">
        <v>75000</v>
      </c>
      <c r="D5" s="2">
        <v>0</v>
      </c>
      <c r="E5" s="2">
        <v>5000</v>
      </c>
      <c r="F5" s="2">
        <v>5000</v>
      </c>
      <c r="G5" s="2">
        <v>5000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6">
        <f>SUM(Table1[[#This Row],[مصاريف إدارية 1]:[اخري]])</f>
        <v>15000</v>
      </c>
    </row>
    <row r="7" spans="1:16">
      <c r="F7" s="21" t="s">
        <v>19</v>
      </c>
      <c r="G7" s="21"/>
      <c r="H7" s="21"/>
      <c r="I7" s="21"/>
      <c r="J7" s="21"/>
      <c r="K7" s="21" t="s">
        <v>20</v>
      </c>
    </row>
  </sheetData>
  <sheetProtection algorithmName="SHA-512" hashValue="frbQVlL30DHV4vY8zY/fKMTV8rM0L5PR7T5qdE662fbUZP9DEf2iz3QjWU9F3FoCmpXP5xi4IdmfuU3zckRRig==" saltValue="pyX/ul8fwUlWVDJR8Bx93g==" spinCount="100000" sheet="1" formatCells="0" formatColumns="0" formatRows="0" insertColumns="0" insertRows="0" insertHyperlinks="0" deleteColumns="0" deleteRows="0" selectLockedCells="1" sort="0" autoFilter="0" pivotTables="0"/>
  <mergeCells count="1">
    <mergeCell ref="B1:C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Dr.Islam Adly Ihub</dc:creator>
  <cp:keywords/>
  <dc:description/>
  <cp:lastModifiedBy/>
  <cp:revision/>
  <dcterms:created xsi:type="dcterms:W3CDTF">2015-06-05T18:17:20Z</dcterms:created>
  <dcterms:modified xsi:type="dcterms:W3CDTF">2025-12-26T20:55:27Z</dcterms:modified>
  <cp:category/>
  <cp:contentStatus/>
</cp:coreProperties>
</file>